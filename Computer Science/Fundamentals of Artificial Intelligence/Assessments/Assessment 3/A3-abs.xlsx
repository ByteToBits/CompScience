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E8534A24-E30A-44E1-86F5-0CE62AD0647D}" xr6:coauthVersionLast="47" xr6:coauthVersionMax="47" xr10:uidLastSave="{00000000-0000-0000-0000-000000000000}"/>
  <bookViews>
    <workbookView xWindow="25490" yWindow="-110" windowWidth="25820" windowHeight="16220" xr2:uid="{00000000-000D-0000-FFFF-FFFF00000000}"/>
  </bookViews>
  <sheets>
    <sheet name="abs data" sheetId="2" r:id="rId1"/>
  </sheets>
  <definedNames>
    <definedName name="abs" localSheetId="0">'abs data'!$A$2:$F$31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J2" i="2" s="1"/>
  <c r="H28" i="2"/>
  <c r="H29" i="2"/>
  <c r="H30" i="2"/>
  <c r="H31" i="2"/>
  <c r="I28" i="2"/>
  <c r="I29" i="2"/>
  <c r="I30" i="2"/>
  <c r="I31" i="2"/>
  <c r="K2" i="2"/>
  <c r="I8" i="2"/>
  <c r="I2" i="2"/>
  <c r="G3" i="2"/>
  <c r="G4" i="2"/>
  <c r="G5" i="2"/>
  <c r="G6" i="2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I24" i="2" s="1"/>
  <c r="G29" i="2"/>
  <c r="I25" i="2" s="1"/>
  <c r="G30" i="2"/>
  <c r="I26" i="2" s="1"/>
  <c r="G31" i="2"/>
  <c r="I27" i="2" s="1"/>
  <c r="G2" i="2"/>
  <c r="I21" i="2" l="1"/>
  <c r="I10" i="2"/>
  <c r="I9" i="2"/>
  <c r="I7" i="2"/>
  <c r="I4" i="2"/>
  <c r="I23" i="2"/>
  <c r="I18" i="2"/>
  <c r="I17" i="2"/>
  <c r="I15" i="2"/>
  <c r="I14" i="2"/>
  <c r="I12" i="2"/>
  <c r="I11" i="2"/>
  <c r="I3" i="2"/>
  <c r="I22" i="2"/>
  <c r="I20" i="2"/>
  <c r="I19" i="2"/>
  <c r="I16" i="2"/>
  <c r="I13" i="2"/>
  <c r="I6" i="2"/>
  <c r="I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s" type="6" refreshedVersion="5" background="1" saveData="1">
    <textPr codePage="850" sourceFile="C:\Users\Ingrid\Documents\cnotes\fit5047\2016\lectures\Weka datasets\abs.arff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<sst xmlns="http://schemas.openxmlformats.org/spreadsheetml/2006/main" count="29" uniqueCount="18">
  <si>
    <t xml:space="preserve"> ?</t>
  </si>
  <si>
    <t xml:space="preserve"> ?   </t>
  </si>
  <si>
    <t xml:space="preserve"> 	  5513.5</t>
  </si>
  <si>
    <t xml:space="preserve"> 	  3931.8</t>
  </si>
  <si>
    <t xml:space="preserve"> 	  4467.5</t>
  </si>
  <si>
    <t xml:space="preserve"> 	  4607.1</t>
  </si>
  <si>
    <t>54375</t>
  </si>
  <si>
    <t xml:space="preserve">						 67912				</t>
  </si>
  <si>
    <t>Year</t>
  </si>
  <si>
    <t>Immigrants-ks</t>
  </si>
  <si>
    <t>All-Ords-Index</t>
  </si>
  <si>
    <t>Housing-Loan-Interest-Rate</t>
  </si>
  <si>
    <t>Exports-ms</t>
  </si>
  <si>
    <t>Unemployment-Rate</t>
  </si>
  <si>
    <t>Absolute Error</t>
  </si>
  <si>
    <t>Predicted Unemployment</t>
  </si>
  <si>
    <t>Mean Absolute Error</t>
  </si>
  <si>
    <t>Root Mean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</si>
</sst>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2" fontId="0" fillId="2" borderId="0" xfId="0" applyNumberForma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3" borderId="0" xfId="0" applyFill="1"/>
    <xf numFmtId="2" fontId="0" fillId="3" borderId="0" xfId="0" applyNumberFormat="1" applyFill="1" applyAlignment="1">
      <alignment horizontal="right"/>
    </xf>
    <xf numFmtId="1" fontId="0" fillId="3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s" connectionId="1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workbookViewId="0">
      <selection activeCell="H3" sqref="H3"/>
    </sheetView>
  </sheetViews>
  <sheetFormatPr defaultRowHeight="14.4" x14ac:dyDescent="0.3"/>
  <cols>
    <col min="1" max="1" width="9.6640625" customWidth="1"/>
    <col min="2" max="2" width="11.109375" customWidth="1"/>
    <col min="4" max="4" width="13.109375" customWidth="1"/>
    <col min="5" max="5" width="12" style="2" customWidth="1"/>
    <col min="6" max="6" width="14.88671875" customWidth="1"/>
    <col min="7" max="7" width="21" customWidth="1"/>
    <col min="8" max="8" width="18.109375" customWidth="1"/>
    <col min="9" max="9" width="22.21875" customWidth="1"/>
    <col min="10" max="10" width="19.88671875" customWidth="1"/>
    <col min="11" max="11" width="21.44140625" customWidth="1"/>
  </cols>
  <sheetData>
    <row r="1" spans="1:11" s="1" customFormat="1" ht="31.5" customHeight="1" x14ac:dyDescent="0.3">
      <c r="A1" s="3" t="s">
        <v>8</v>
      </c>
      <c r="B1" s="3" t="s">
        <v>9</v>
      </c>
      <c r="C1" s="3" t="s">
        <v>10</v>
      </c>
      <c r="D1" s="3" t="s">
        <v>11</v>
      </c>
      <c r="E1" s="4" t="s">
        <v>12</v>
      </c>
      <c r="F1" s="5" t="s">
        <v>13</v>
      </c>
      <c r="G1" s="5" t="s">
        <v>15</v>
      </c>
      <c r="H1" s="5" t="s">
        <v>14</v>
      </c>
      <c r="I1" s="5" t="s">
        <v>16</v>
      </c>
      <c r="J1" s="11" t="s">
        <v>16</v>
      </c>
      <c r="K1" s="11" t="s">
        <v>17</v>
      </c>
    </row>
    <row r="2" spans="1:11" x14ac:dyDescent="0.3">
      <c r="A2" s="6">
        <v>1981</v>
      </c>
      <c r="B2" s="6">
        <v>210.6</v>
      </c>
      <c r="C2" s="6" t="s">
        <v>0</v>
      </c>
      <c r="D2" s="6" t="s">
        <v>1</v>
      </c>
      <c r="E2" s="7" t="s">
        <v>6</v>
      </c>
      <c r="F2" s="6">
        <v>6.1</v>
      </c>
      <c r="G2" s="9" t="e">
        <f>-0.0014*C2-0.2452*D2+13.7286</f>
        <v>#VALUE!</v>
      </c>
      <c r="H2" s="9">
        <v>0</v>
      </c>
      <c r="I2" s="13" t="e">
        <f>(F6-G6)^2</f>
        <v>#VALUE!</v>
      </c>
      <c r="J2" s="12">
        <f>AVERAGEIF(H:H,"&gt;=0")</f>
        <v>0.97954363636363628</v>
      </c>
      <c r="K2" s="12">
        <f>SQRT(AVERAGEIF(I:I,"&gt;0"))</f>
        <v>1.281313678408293</v>
      </c>
    </row>
    <row r="3" spans="1:11" x14ac:dyDescent="0.3">
      <c r="A3" s="6">
        <v>1982</v>
      </c>
      <c r="B3" s="6">
        <v>172.7</v>
      </c>
      <c r="C3" s="6" t="s">
        <v>0</v>
      </c>
      <c r="D3" s="6" t="s">
        <v>0</v>
      </c>
      <c r="E3" s="8">
        <v>54658</v>
      </c>
      <c r="F3" s="6">
        <v>9.3000000000000007</v>
      </c>
      <c r="G3" s="9" t="e">
        <f t="shared" ref="G3:G31" si="0">-0.0014*C3-0.2452*D3+13.7286</f>
        <v>#VALUE!</v>
      </c>
      <c r="H3" s="9" t="e">
        <f t="shared" ref="H3:H31" si="1">ABS(F3-G3)</f>
        <v>#VALUE!</v>
      </c>
      <c r="I3" s="13">
        <f t="shared" ref="I3:I31" si="2">(F7-G7)^2</f>
        <v>0.92686830760000027</v>
      </c>
    </row>
    <row r="4" spans="1:11" x14ac:dyDescent="0.3">
      <c r="A4" s="6">
        <v>1983</v>
      </c>
      <c r="B4" s="6">
        <v>145.30000000000001</v>
      </c>
      <c r="C4" s="6" t="s">
        <v>0</v>
      </c>
      <c r="D4" s="6" t="s">
        <v>0</v>
      </c>
      <c r="E4" s="8">
        <v>58829</v>
      </c>
      <c r="F4" s="6">
        <v>10</v>
      </c>
      <c r="G4" s="9" t="e">
        <f t="shared" si="0"/>
        <v>#VALUE!</v>
      </c>
      <c r="H4" s="9" t="e">
        <f t="shared" si="1"/>
        <v>#VALUE!</v>
      </c>
      <c r="I4" s="13">
        <f t="shared" si="2"/>
        <v>0.24898104040000041</v>
      </c>
    </row>
    <row r="5" spans="1:11" x14ac:dyDescent="0.3">
      <c r="A5" s="6">
        <v>1984</v>
      </c>
      <c r="B5" s="6">
        <v>163.19999999999999</v>
      </c>
      <c r="C5" s="6">
        <v>855.1</v>
      </c>
      <c r="D5" s="6" t="s">
        <v>0</v>
      </c>
      <c r="E5" s="8" t="s">
        <v>7</v>
      </c>
      <c r="F5" s="6">
        <v>8.8000000000000007</v>
      </c>
      <c r="G5" s="9" t="e">
        <f t="shared" si="0"/>
        <v>#VALUE!</v>
      </c>
      <c r="H5" s="9" t="e">
        <f t="shared" si="1"/>
        <v>#VALUE!</v>
      </c>
      <c r="I5" s="13">
        <f t="shared" si="2"/>
        <v>0.84901481639999898</v>
      </c>
    </row>
    <row r="6" spans="1:11" x14ac:dyDescent="0.3">
      <c r="A6" s="6">
        <v>1985</v>
      </c>
      <c r="B6" s="6">
        <v>186.4</v>
      </c>
      <c r="C6" s="6">
        <v>1210.8</v>
      </c>
      <c r="D6" s="6" t="s">
        <v>0</v>
      </c>
      <c r="E6" s="8">
        <v>70481</v>
      </c>
      <c r="F6" s="6">
        <v>8</v>
      </c>
      <c r="G6" s="9" t="e">
        <f t="shared" si="0"/>
        <v>#VALUE!</v>
      </c>
      <c r="H6" s="9" t="e">
        <f t="shared" si="1"/>
        <v>#VALUE!</v>
      </c>
      <c r="I6" s="13">
        <f t="shared" si="2"/>
        <v>2.4664074303999994</v>
      </c>
    </row>
    <row r="7" spans="1:11" x14ac:dyDescent="0.3">
      <c r="A7" s="6">
        <v>1986</v>
      </c>
      <c r="B7" s="6">
        <v>204.4</v>
      </c>
      <c r="C7" s="6">
        <v>1779.1</v>
      </c>
      <c r="D7" s="6">
        <v>15.5</v>
      </c>
      <c r="E7" s="8">
        <v>77547</v>
      </c>
      <c r="F7" s="6">
        <v>8.4</v>
      </c>
      <c r="G7" s="9">
        <f t="shared" si="0"/>
        <v>7.4372600000000002</v>
      </c>
      <c r="H7" s="9">
        <f t="shared" si="1"/>
        <v>0.96274000000000015</v>
      </c>
      <c r="I7" s="13">
        <f t="shared" si="2"/>
        <v>4.3375396000000918E-3</v>
      </c>
    </row>
    <row r="8" spans="1:11" x14ac:dyDescent="0.3">
      <c r="A8" s="6">
        <v>1987</v>
      </c>
      <c r="B8" s="6">
        <v>242.3</v>
      </c>
      <c r="C8" s="6">
        <v>1585.3</v>
      </c>
      <c r="D8" s="6">
        <v>13.5</v>
      </c>
      <c r="E8" s="8">
        <v>84101</v>
      </c>
      <c r="F8" s="6">
        <v>7.7</v>
      </c>
      <c r="G8" s="9">
        <f t="shared" si="0"/>
        <v>8.1989800000000006</v>
      </c>
      <c r="H8" s="9">
        <f t="shared" si="1"/>
        <v>0.49898000000000042</v>
      </c>
      <c r="I8" s="13">
        <f t="shared" si="2"/>
        <v>5.1066056483999969</v>
      </c>
    </row>
    <row r="9" spans="1:11" x14ac:dyDescent="0.3">
      <c r="A9" s="6">
        <v>1988</v>
      </c>
      <c r="B9" s="6">
        <v>249.9</v>
      </c>
      <c r="C9" s="6">
        <v>1527.7</v>
      </c>
      <c r="D9" s="6">
        <v>17</v>
      </c>
      <c r="E9" s="8">
        <v>84981</v>
      </c>
      <c r="F9" s="6">
        <v>6.5</v>
      </c>
      <c r="G9" s="9">
        <f t="shared" si="0"/>
        <v>7.4214199999999995</v>
      </c>
      <c r="H9" s="9">
        <f t="shared" si="1"/>
        <v>0.92141999999999946</v>
      </c>
      <c r="I9" s="13">
        <f t="shared" si="2"/>
        <v>7.9098187536000024</v>
      </c>
    </row>
    <row r="10" spans="1:11" x14ac:dyDescent="0.3">
      <c r="A10" s="6">
        <v>1989</v>
      </c>
      <c r="B10" s="6">
        <v>231.9</v>
      </c>
      <c r="C10" s="6">
        <v>1508.8</v>
      </c>
      <c r="D10" s="6">
        <v>16.5</v>
      </c>
      <c r="E10" s="8">
        <v>88950</v>
      </c>
      <c r="F10" s="6">
        <v>6</v>
      </c>
      <c r="G10" s="9">
        <f t="shared" si="0"/>
        <v>7.5704799999999999</v>
      </c>
      <c r="H10" s="9">
        <f t="shared" si="1"/>
        <v>1.5704799999999999</v>
      </c>
      <c r="I10" s="13">
        <f t="shared" si="2"/>
        <v>6.6212553124000033</v>
      </c>
    </row>
    <row r="11" spans="1:11" x14ac:dyDescent="0.3">
      <c r="A11" s="6">
        <v>1990</v>
      </c>
      <c r="B11" s="6">
        <v>236.4</v>
      </c>
      <c r="C11" s="6">
        <v>1504.9</v>
      </c>
      <c r="D11" s="6">
        <v>13</v>
      </c>
      <c r="E11" s="8">
        <v>98970</v>
      </c>
      <c r="F11" s="6">
        <v>8.5</v>
      </c>
      <c r="G11" s="9">
        <f t="shared" si="0"/>
        <v>8.4341399999999993</v>
      </c>
      <c r="H11" s="9">
        <f t="shared" si="1"/>
        <v>6.5860000000000696E-2</v>
      </c>
      <c r="I11" s="13">
        <f t="shared" si="2"/>
        <v>0.89703629440000332</v>
      </c>
    </row>
    <row r="12" spans="1:11" x14ac:dyDescent="0.3">
      <c r="A12" s="6">
        <v>1991</v>
      </c>
      <c r="B12" s="6">
        <v>234.2</v>
      </c>
      <c r="C12" s="6">
        <v>1652.7</v>
      </c>
      <c r="D12" s="6">
        <v>10.5</v>
      </c>
      <c r="E12" s="8">
        <v>108328</v>
      </c>
      <c r="F12" s="6">
        <v>11.1</v>
      </c>
      <c r="G12" s="9">
        <f t="shared" si="0"/>
        <v>8.8402200000000004</v>
      </c>
      <c r="H12" s="9">
        <f t="shared" si="1"/>
        <v>2.2597799999999992</v>
      </c>
      <c r="I12" s="13">
        <f t="shared" si="2"/>
        <v>0.34395879039999988</v>
      </c>
    </row>
    <row r="13" spans="1:11" x14ac:dyDescent="0.3">
      <c r="A13" s="6">
        <v>1992</v>
      </c>
      <c r="B13" s="6">
        <v>203.7</v>
      </c>
      <c r="C13" s="6">
        <v>1722.6</v>
      </c>
      <c r="D13" s="6">
        <v>9.5</v>
      </c>
      <c r="E13" s="8">
        <v>116355</v>
      </c>
      <c r="F13" s="6">
        <v>11.8</v>
      </c>
      <c r="G13" s="9">
        <f t="shared" si="0"/>
        <v>8.9875600000000002</v>
      </c>
      <c r="H13" s="9">
        <f t="shared" si="1"/>
        <v>2.8124400000000005</v>
      </c>
      <c r="I13" s="13">
        <f t="shared" si="2"/>
        <v>0.44171974440000145</v>
      </c>
    </row>
    <row r="14" spans="1:11" x14ac:dyDescent="0.3">
      <c r="A14" s="6">
        <v>1993</v>
      </c>
      <c r="B14" s="6">
        <v>207.4</v>
      </c>
      <c r="C14" s="6">
        <v>2040.2</v>
      </c>
      <c r="D14" s="6">
        <v>8.75</v>
      </c>
      <c r="E14" s="8">
        <v>127362</v>
      </c>
      <c r="F14" s="6">
        <v>11.3</v>
      </c>
      <c r="G14" s="9">
        <f t="shared" si="0"/>
        <v>8.72682</v>
      </c>
      <c r="H14" s="9">
        <f t="shared" si="1"/>
        <v>2.5731800000000007</v>
      </c>
      <c r="I14" s="13">
        <f t="shared" si="2"/>
        <v>2.7463118399999514E-2</v>
      </c>
    </row>
    <row r="15" spans="1:11" x14ac:dyDescent="0.3">
      <c r="A15" s="6">
        <v>1994</v>
      </c>
      <c r="B15" s="6">
        <v>238.5</v>
      </c>
      <c r="C15" s="6">
        <v>2000.8</v>
      </c>
      <c r="D15" s="6">
        <v>10.5</v>
      </c>
      <c r="E15" s="8">
        <v>132979</v>
      </c>
      <c r="F15" s="6">
        <v>9.3000000000000007</v>
      </c>
      <c r="G15" s="9">
        <f t="shared" si="0"/>
        <v>8.352879999999999</v>
      </c>
      <c r="H15" s="9">
        <f t="shared" si="1"/>
        <v>0.94712000000000174</v>
      </c>
      <c r="I15" s="13">
        <f t="shared" si="2"/>
        <v>3.4819560000000117E-2</v>
      </c>
    </row>
    <row r="16" spans="1:11" x14ac:dyDescent="0.3">
      <c r="A16" s="6">
        <v>1995</v>
      </c>
      <c r="B16" s="6">
        <v>262.7</v>
      </c>
      <c r="C16" s="6">
        <v>2231.6999999999998</v>
      </c>
      <c r="D16" s="6">
        <v>9.75</v>
      </c>
      <c r="E16" s="8">
        <v>146225</v>
      </c>
      <c r="F16" s="6">
        <v>8.8000000000000007</v>
      </c>
      <c r="G16" s="9">
        <f t="shared" si="0"/>
        <v>8.2135200000000008</v>
      </c>
      <c r="H16" s="9">
        <f t="shared" si="1"/>
        <v>0.58647999999999989</v>
      </c>
      <c r="I16" s="13">
        <f t="shared" si="2"/>
        <v>0.4274282884000003</v>
      </c>
    </row>
    <row r="17" spans="1:9" x14ac:dyDescent="0.3">
      <c r="A17" s="6">
        <v>1996</v>
      </c>
      <c r="B17" s="6">
        <v>261</v>
      </c>
      <c r="C17" s="6">
        <v>2662.7</v>
      </c>
      <c r="D17" s="6">
        <v>7.2</v>
      </c>
      <c r="E17" s="8">
        <v>162144</v>
      </c>
      <c r="F17" s="6">
        <v>8.9</v>
      </c>
      <c r="G17" s="9">
        <f t="shared" si="0"/>
        <v>8.2353799999999993</v>
      </c>
      <c r="H17" s="9">
        <f t="shared" si="1"/>
        <v>0.6646200000000011</v>
      </c>
      <c r="I17" s="13">
        <f t="shared" si="2"/>
        <v>0.58963969439999986</v>
      </c>
    </row>
    <row r="18" spans="1:9" x14ac:dyDescent="0.3">
      <c r="A18" s="6">
        <v>1997</v>
      </c>
      <c r="B18" s="6">
        <v>265.39999999999998</v>
      </c>
      <c r="C18" s="6">
        <v>2608.1999999999998</v>
      </c>
      <c r="D18" s="6">
        <v>6.7</v>
      </c>
      <c r="E18" s="8">
        <v>169720</v>
      </c>
      <c r="F18" s="6">
        <v>8.6</v>
      </c>
      <c r="G18" s="9">
        <f t="shared" si="0"/>
        <v>8.4342800000000011</v>
      </c>
      <c r="H18" s="9">
        <f t="shared" si="1"/>
        <v>0.16571999999999854</v>
      </c>
      <c r="I18" s="13">
        <f t="shared" si="2"/>
        <v>0.34157011359999984</v>
      </c>
    </row>
    <row r="19" spans="1:9" x14ac:dyDescent="0.3">
      <c r="A19" s="6">
        <v>1998</v>
      </c>
      <c r="B19" s="6">
        <v>271.89999999999998</v>
      </c>
      <c r="C19" s="6">
        <v>2963</v>
      </c>
      <c r="D19" s="6">
        <v>6.5</v>
      </c>
      <c r="E19" s="8">
        <v>172977</v>
      </c>
      <c r="F19" s="6">
        <v>7.8</v>
      </c>
      <c r="G19" s="9">
        <f t="shared" si="0"/>
        <v>7.9866000000000001</v>
      </c>
      <c r="H19" s="9">
        <f t="shared" si="1"/>
        <v>0.18660000000000032</v>
      </c>
      <c r="I19" s="13">
        <f t="shared" si="2"/>
        <v>2.1837155075999997</v>
      </c>
    </row>
    <row r="20" spans="1:9" x14ac:dyDescent="0.3">
      <c r="A20" s="6">
        <v>1999</v>
      </c>
      <c r="B20" s="6">
        <v>305.10000000000002</v>
      </c>
      <c r="C20" s="6">
        <v>3115.9</v>
      </c>
      <c r="D20" s="6">
        <v>7.8</v>
      </c>
      <c r="E20" s="8">
        <v>189827</v>
      </c>
      <c r="F20" s="6">
        <v>6.8</v>
      </c>
      <c r="G20" s="9">
        <f t="shared" si="0"/>
        <v>7.4537800000000001</v>
      </c>
      <c r="H20" s="9">
        <f t="shared" si="1"/>
        <v>0.65378000000000025</v>
      </c>
      <c r="I20" s="13">
        <f t="shared" si="2"/>
        <v>1.6905720484000011</v>
      </c>
    </row>
    <row r="21" spans="1:9" x14ac:dyDescent="0.3">
      <c r="A21" s="6">
        <v>2000</v>
      </c>
      <c r="B21" s="6">
        <v>348.6</v>
      </c>
      <c r="C21" s="6">
        <v>3352.4</v>
      </c>
      <c r="D21" s="6">
        <v>6.8</v>
      </c>
      <c r="E21" s="8">
        <v>205369</v>
      </c>
      <c r="F21" s="6">
        <v>6.6</v>
      </c>
      <c r="G21" s="9">
        <f t="shared" si="0"/>
        <v>7.3678799999999995</v>
      </c>
      <c r="H21" s="9">
        <f t="shared" si="1"/>
        <v>0.7678799999999999</v>
      </c>
      <c r="I21" s="13">
        <f t="shared" si="2"/>
        <v>0.74328537960000018</v>
      </c>
    </row>
    <row r="22" spans="1:9" x14ac:dyDescent="0.3">
      <c r="A22" s="6">
        <v>2001</v>
      </c>
      <c r="B22" s="6">
        <v>353.4</v>
      </c>
      <c r="C22" s="6">
        <v>3241.5</v>
      </c>
      <c r="D22" s="6">
        <v>6.55</v>
      </c>
      <c r="E22" s="8">
        <v>203964</v>
      </c>
      <c r="F22" s="6">
        <v>7</v>
      </c>
      <c r="G22" s="9">
        <f t="shared" si="0"/>
        <v>7.5844399999999998</v>
      </c>
      <c r="H22" s="9">
        <f t="shared" si="1"/>
        <v>0.58443999999999985</v>
      </c>
      <c r="I22" s="13">
        <f t="shared" si="2"/>
        <v>4.9617935999999455E-3</v>
      </c>
    </row>
    <row r="23" spans="1:9" x14ac:dyDescent="0.3">
      <c r="A23" s="6">
        <v>2002</v>
      </c>
      <c r="B23" s="6">
        <v>373.8</v>
      </c>
      <c r="C23" s="6">
        <v>3032</v>
      </c>
      <c r="D23" s="6">
        <v>6.55</v>
      </c>
      <c r="E23" s="8">
        <v>204334</v>
      </c>
      <c r="F23" s="6">
        <v>6.4</v>
      </c>
      <c r="G23" s="9">
        <f t="shared" si="0"/>
        <v>7.8777400000000002</v>
      </c>
      <c r="H23" s="9">
        <f t="shared" si="1"/>
        <v>1.4777399999999998</v>
      </c>
      <c r="I23" s="13">
        <f t="shared" si="2"/>
        <v>2.6176004100000019</v>
      </c>
    </row>
    <row r="24" spans="1:9" x14ac:dyDescent="0.3">
      <c r="A24" s="6">
        <v>2003</v>
      </c>
      <c r="B24" s="6">
        <v>401.3</v>
      </c>
      <c r="C24" s="6">
        <v>3499.8</v>
      </c>
      <c r="D24" s="6">
        <v>7.05</v>
      </c>
      <c r="E24" s="8">
        <v>206761</v>
      </c>
      <c r="F24" s="6">
        <v>5.8</v>
      </c>
      <c r="G24" s="9">
        <f t="shared" si="0"/>
        <v>7.1002200000000002</v>
      </c>
      <c r="H24" s="9">
        <f t="shared" si="1"/>
        <v>1.3002200000000004</v>
      </c>
      <c r="I24" s="13" t="e">
        <f t="shared" si="2"/>
        <v>#VALUE!</v>
      </c>
    </row>
    <row r="25" spans="1:9" x14ac:dyDescent="0.3">
      <c r="A25" s="6">
        <v>2004</v>
      </c>
      <c r="B25" s="6">
        <v>426.9</v>
      </c>
      <c r="C25" s="6">
        <v>4197.5</v>
      </c>
      <c r="D25" s="6">
        <v>7.3</v>
      </c>
      <c r="E25" s="8">
        <v>213985</v>
      </c>
      <c r="F25" s="6">
        <v>5.2</v>
      </c>
      <c r="G25" s="9">
        <f t="shared" si="0"/>
        <v>6.0621400000000003</v>
      </c>
      <c r="H25" s="9">
        <f t="shared" si="1"/>
        <v>0.86214000000000013</v>
      </c>
      <c r="I25" s="13" t="e">
        <f t="shared" si="2"/>
        <v>#VALUE!</v>
      </c>
    </row>
    <row r="26" spans="1:9" x14ac:dyDescent="0.3">
      <c r="A26" s="6">
        <v>2005</v>
      </c>
      <c r="B26" s="6">
        <v>457.4</v>
      </c>
      <c r="C26" s="6">
        <v>4933.5</v>
      </c>
      <c r="D26" s="6">
        <v>7.55</v>
      </c>
      <c r="E26" s="8">
        <v>219678</v>
      </c>
      <c r="F26" s="6">
        <v>4.9000000000000004</v>
      </c>
      <c r="G26" s="9">
        <f t="shared" si="0"/>
        <v>4.97044</v>
      </c>
      <c r="H26" s="9">
        <f t="shared" si="1"/>
        <v>7.0439999999999614E-2</v>
      </c>
      <c r="I26" s="13" t="e">
        <f t="shared" si="2"/>
        <v>#VALUE!</v>
      </c>
    </row>
    <row r="27" spans="1:9" x14ac:dyDescent="0.3">
      <c r="A27" s="6">
        <v>2006</v>
      </c>
      <c r="B27" s="6">
        <v>513.4</v>
      </c>
      <c r="C27" s="6">
        <v>6337.6</v>
      </c>
      <c r="D27" s="6">
        <v>8.0500000000000007</v>
      </c>
      <c r="E27" s="8">
        <v>228442</v>
      </c>
      <c r="F27" s="6">
        <v>4.5</v>
      </c>
      <c r="G27" s="9">
        <f t="shared" si="0"/>
        <v>2.8820999999999994</v>
      </c>
      <c r="H27" s="9">
        <f t="shared" si="1"/>
        <v>1.6179000000000006</v>
      </c>
      <c r="I27" s="13" t="e">
        <f t="shared" si="2"/>
        <v>#VALUE!</v>
      </c>
    </row>
    <row r="28" spans="1:9" x14ac:dyDescent="0.3">
      <c r="A28" s="6">
        <v>2007</v>
      </c>
      <c r="B28" s="6">
        <v>582.1</v>
      </c>
      <c r="C28" s="6" t="s">
        <v>2</v>
      </c>
      <c r="D28" s="6">
        <v>9.4499999999999993</v>
      </c>
      <c r="E28" s="8">
        <v>236965</v>
      </c>
      <c r="F28" s="6" t="s">
        <v>0</v>
      </c>
      <c r="G28" s="9" t="e">
        <f t="shared" si="0"/>
        <v>#VALUE!</v>
      </c>
      <c r="H28" s="9" t="e">
        <f t="shared" si="1"/>
        <v>#VALUE!</v>
      </c>
      <c r="I28" s="13">
        <f t="shared" si="2"/>
        <v>0</v>
      </c>
    </row>
    <row r="29" spans="1:9" x14ac:dyDescent="0.3">
      <c r="A29" s="6">
        <v>2008</v>
      </c>
      <c r="B29" s="6">
        <v>662.3</v>
      </c>
      <c r="C29" s="6" t="s">
        <v>3</v>
      </c>
      <c r="D29" s="6">
        <v>5.8</v>
      </c>
      <c r="E29" s="8">
        <v>241050</v>
      </c>
      <c r="F29" s="6" t="s">
        <v>0</v>
      </c>
      <c r="G29" s="9" t="e">
        <f t="shared" si="0"/>
        <v>#VALUE!</v>
      </c>
      <c r="H29" s="9" t="e">
        <f t="shared" si="1"/>
        <v>#VALUE!</v>
      </c>
      <c r="I29" s="13">
        <f t="shared" si="2"/>
        <v>0</v>
      </c>
    </row>
    <row r="30" spans="1:9" x14ac:dyDescent="0.3">
      <c r="A30" s="6">
        <v>2009</v>
      </c>
      <c r="B30" s="6">
        <v>605.1</v>
      </c>
      <c r="C30" s="6" t="s">
        <v>4</v>
      </c>
      <c r="D30" s="6">
        <v>7.4</v>
      </c>
      <c r="E30" s="8">
        <v>253762</v>
      </c>
      <c r="F30" s="6" t="s">
        <v>0</v>
      </c>
      <c r="G30" s="9" t="e">
        <f t="shared" si="0"/>
        <v>#VALUE!</v>
      </c>
      <c r="H30" s="9" t="e">
        <f t="shared" si="1"/>
        <v>#VALUE!</v>
      </c>
      <c r="I30" s="13">
        <f t="shared" si="2"/>
        <v>0</v>
      </c>
    </row>
    <row r="31" spans="1:9" x14ac:dyDescent="0.3">
      <c r="A31" s="6">
        <v>2010</v>
      </c>
      <c r="B31" s="6">
        <v>590.4</v>
      </c>
      <c r="C31" s="6" t="s">
        <v>5</v>
      </c>
      <c r="D31" s="6">
        <v>7.8</v>
      </c>
      <c r="E31" s="8">
        <v>254367</v>
      </c>
      <c r="F31" s="6" t="s">
        <v>0</v>
      </c>
      <c r="G31" s="9" t="e">
        <f t="shared" si="0"/>
        <v>#VALUE!</v>
      </c>
      <c r="H31" s="9" t="e">
        <f t="shared" si="1"/>
        <v>#VALUE!</v>
      </c>
      <c r="I31" s="13">
        <f t="shared" si="2"/>
        <v>0</v>
      </c>
    </row>
    <row r="32" spans="1:9" x14ac:dyDescent="0.3">
      <c r="G32" s="10"/>
      <c r="H32" s="10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abs data</vt:lpstr>
      <vt:lpstr>'abs data'!abs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2025-08-09T09:32:54Z</dcterms:modified>
</cp:coreProperties>
</file>